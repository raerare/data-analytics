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/Desktop/Data Capastone 1/"/>
    </mc:Choice>
  </mc:AlternateContent>
  <xr:revisionPtr revIDLastSave="0" documentId="13_ncr:1_{CF7F9E43-819A-BE45-BB5E-23FA0991E0B3}" xr6:coauthVersionLast="47" xr6:coauthVersionMax="47" xr10:uidLastSave="{00000000-0000-0000-0000-000000000000}"/>
  <bookViews>
    <workbookView xWindow="5480" yWindow="2820" windowWidth="26040" windowHeight="17700" xr2:uid="{E5EB0086-9F6A-704B-BCF3-761C493001CC}"/>
  </bookViews>
  <sheets>
    <sheet name="Data Visualizations" sheetId="3" r:id="rId1"/>
    <sheet name="Tequila Vendor Performance" sheetId="1" r:id="rId2"/>
  </sheets>
  <calcPr calcId="0"/>
  <pivotCaches>
    <pivotCache cacheId="47" r:id="rId3"/>
  </pivotCaches>
</workbook>
</file>

<file path=xl/sharedStrings.xml><?xml version="1.0" encoding="utf-8"?>
<sst xmlns="http://schemas.openxmlformats.org/spreadsheetml/2006/main" count="144" uniqueCount="67">
  <si>
    <t>vendor</t>
  </si>
  <si>
    <t>vendor_name</t>
  </si>
  <si>
    <t>transaction_count</t>
  </si>
  <si>
    <t>total_bottles_sold</t>
  </si>
  <si>
    <t>total_revenue</t>
  </si>
  <si>
    <t>avg_bottle_price</t>
  </si>
  <si>
    <t>Proximo</t>
  </si>
  <si>
    <t>The Patron Spirits Company</t>
  </si>
  <si>
    <t>Luxco-St Louis</t>
  </si>
  <si>
    <t>Luxco-st Louis</t>
  </si>
  <si>
    <t>Jim Beam Brands</t>
  </si>
  <si>
    <t>Sazerac North America</t>
  </si>
  <si>
    <t>Diageo Americas</t>
  </si>
  <si>
    <t>Sazerac Co. Inc.</t>
  </si>
  <si>
    <t>Brown-Forman Corporation</t>
  </si>
  <si>
    <t>Brown-forman Corporation</t>
  </si>
  <si>
    <t>Pernod Ricard USA/Austin Nichols</t>
  </si>
  <si>
    <t>Pernod Ricard Usa/austin Nichols</t>
  </si>
  <si>
    <t>E AND J GALLO WINERY</t>
  </si>
  <si>
    <t>E And J Gallo Winery</t>
  </si>
  <si>
    <t>LUXCO</t>
  </si>
  <si>
    <t>Luxco-Cleveland</t>
  </si>
  <si>
    <t>Luxco-cleveland</t>
  </si>
  <si>
    <t>Campari(skyy)</t>
  </si>
  <si>
    <t>Monsieur Henri Wines Ltd.</t>
  </si>
  <si>
    <t>Bacardi U.S.A. Inc.</t>
  </si>
  <si>
    <t>Bacardi U.s.a. Inc.</t>
  </si>
  <si>
    <t>Wilson Daniels Ltd.</t>
  </si>
  <si>
    <t>Trinchero Family Estates</t>
  </si>
  <si>
    <t>WILLIAM GRANT AND SONS INC.</t>
  </si>
  <si>
    <t>William Grant And Sons Inc.</t>
  </si>
  <si>
    <t>Sazerac Co., Inc.</t>
  </si>
  <si>
    <t>Santa Fe Tequila Company</t>
  </si>
  <si>
    <t>Heaven Hill Distilleries Inc.</t>
  </si>
  <si>
    <t>Sidney Frank Importing Co.</t>
  </si>
  <si>
    <t>Phillips Beverage Company</t>
  </si>
  <si>
    <t>Gemini Spirits</t>
  </si>
  <si>
    <t>PARAMOUNT DISTILLERS INC.</t>
  </si>
  <si>
    <t>Mccormick Distilling Company</t>
  </si>
  <si>
    <t>Bacardi U.S.A., Inc.</t>
  </si>
  <si>
    <t>MHW Ltd</t>
  </si>
  <si>
    <t>Mhw Ltd</t>
  </si>
  <si>
    <t>Aveniu Brands</t>
  </si>
  <si>
    <t>WILLIAM GRANT AND SONS, INC.</t>
  </si>
  <si>
    <t>Heaven Hill Brands</t>
  </si>
  <si>
    <t>Anchor Distilling (PREISS IMPORTS)</t>
  </si>
  <si>
    <t>Anchor Distilling (preiss Imports)</t>
  </si>
  <si>
    <t>Marsalle Company/Stoller Warehouse</t>
  </si>
  <si>
    <t>Marsalle Company/stoller Warehouse</t>
  </si>
  <si>
    <t>Park Street Imports- Caballeros</t>
  </si>
  <si>
    <t>Constellation Wine Company Inc.</t>
  </si>
  <si>
    <t>Modern Spirits</t>
  </si>
  <si>
    <t>Jomada Imports LLC.</t>
  </si>
  <si>
    <t>Jomada Imports Llc.</t>
  </si>
  <si>
    <t>Park Street Imports-Tanteo</t>
  </si>
  <si>
    <t>Park Street Imports-tanteo</t>
  </si>
  <si>
    <t>NULL</t>
  </si>
  <si>
    <t>Liquor Group Wholesale</t>
  </si>
  <si>
    <t>Casa 1921 Llc</t>
  </si>
  <si>
    <t>Serralles USA</t>
  </si>
  <si>
    <t>Domaine Charbay</t>
  </si>
  <si>
    <t>Intersect Beverage LLC</t>
  </si>
  <si>
    <t>Intersect Beverage Llc</t>
  </si>
  <si>
    <t>Shaw Ross International Importers LL</t>
  </si>
  <si>
    <t>Shaw Ross International Importers Ll</t>
  </si>
  <si>
    <t>Sum of transaction_count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</si>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</sst>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[Tequila Vendor Performance.xlsx]Data Visualizations!PivotTable1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'vendor_name': </a:t>
            </a:r>
            <a:r>
              <a:rPr lang="en-US">
                <a:solidFill>
                  <a:srgbClr val="DD5A13"/>
                </a:solidFill>
              </a:rPr>
              <a:t>Proximo</a:t>
            </a:r>
            <a:r>
              <a:rPr lang="en-US"/>
              <a:t> has noticeably higher 'transaction_count'.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4B-BB49-92CC-F93B7296EDAC}"/>
              </c:ext>
            </c:extLst>
          </c:dPt>
          <c:cat>
            <c:strRef>
              <c:f>'Data Visualizations'!$B$3:$B$40</c:f>
              <c:strCache>
                <c:ptCount val="37"/>
                <c:pt idx="0">
                  <c:v>Proximo</c:v>
                </c:pt>
                <c:pt idx="1">
                  <c:v>The Patron Spirits Company</c:v>
                </c:pt>
                <c:pt idx="2">
                  <c:v>Luxco-st Louis</c:v>
                </c:pt>
                <c:pt idx="3">
                  <c:v>Jim Beam Brands</c:v>
                </c:pt>
                <c:pt idx="4">
                  <c:v>Brown-forman Corporation</c:v>
                </c:pt>
                <c:pt idx="5">
                  <c:v>Sazerac Co. Inc.</c:v>
                </c:pt>
                <c:pt idx="6">
                  <c:v>Diageo Americas</c:v>
                </c:pt>
                <c:pt idx="7">
                  <c:v>E And J Gallo Winery</c:v>
                </c:pt>
                <c:pt idx="8">
                  <c:v>Monsieur Henri Wines Ltd.</c:v>
                </c:pt>
                <c:pt idx="9">
                  <c:v>Pernod Ricard Usa/austin Nichols</c:v>
                </c:pt>
                <c:pt idx="10">
                  <c:v>Campari(skyy)</c:v>
                </c:pt>
                <c:pt idx="11">
                  <c:v>Sazerac North America</c:v>
                </c:pt>
                <c:pt idx="12">
                  <c:v>Bacardi U.s.a. Inc.</c:v>
                </c:pt>
                <c:pt idx="13">
                  <c:v>Luxco-cleveland</c:v>
                </c:pt>
                <c:pt idx="14">
                  <c:v>Wilson Daniels Ltd.</c:v>
                </c:pt>
                <c:pt idx="15">
                  <c:v>Trinchero Family Estates</c:v>
                </c:pt>
                <c:pt idx="16">
                  <c:v>Heaven Hill Distilleries Inc.</c:v>
                </c:pt>
                <c:pt idx="17">
                  <c:v>William Grant And Sons Inc.</c:v>
                </c:pt>
                <c:pt idx="18">
                  <c:v>Phillips Beverage Company</c:v>
                </c:pt>
                <c:pt idx="19">
                  <c:v>Santa Fe Tequila Company</c:v>
                </c:pt>
                <c:pt idx="20">
                  <c:v>Mccormick Distilling Company</c:v>
                </c:pt>
                <c:pt idx="21">
                  <c:v>Sidney Frank Importing Co.</c:v>
                </c:pt>
                <c:pt idx="22">
                  <c:v>Aveniu Brands</c:v>
                </c:pt>
                <c:pt idx="23">
                  <c:v>Mhw Ltd</c:v>
                </c:pt>
                <c:pt idx="24">
                  <c:v>Anchor Distilling (preiss Imports)</c:v>
                </c:pt>
                <c:pt idx="25">
                  <c:v>Park Street Imports- Caballeros</c:v>
                </c:pt>
                <c:pt idx="26">
                  <c:v>NULL</c:v>
                </c:pt>
                <c:pt idx="27">
                  <c:v>Constellation Wine Company Inc.</c:v>
                </c:pt>
                <c:pt idx="28">
                  <c:v>Marsalle Company/stoller Warehouse</c:v>
                </c:pt>
                <c:pt idx="29">
                  <c:v>Modern Spirits</c:v>
                </c:pt>
                <c:pt idx="30">
                  <c:v>Park Street Imports-tanteo</c:v>
                </c:pt>
                <c:pt idx="31">
                  <c:v>Jomada Imports Llc.</c:v>
                </c:pt>
                <c:pt idx="32">
                  <c:v>Casa 1921 Llc</c:v>
                </c:pt>
                <c:pt idx="33">
                  <c:v>Liquor Group Wholesale</c:v>
                </c:pt>
                <c:pt idx="34">
                  <c:v>Shaw Ross International Importers Ll</c:v>
                </c:pt>
                <c:pt idx="35">
                  <c:v>Intersect Beverage Llc</c:v>
                </c:pt>
                <c:pt idx="36">
                  <c:v>Domaine Charbay</c:v>
                </c:pt>
              </c:strCache>
            </c:strRef>
          </c:cat>
          <c:val>
            <c:numRef>
              <c:f>'Data Visualizations'!$C$3:$C$40</c:f>
              <c:numCache>
                <c:formatCode>General</c:formatCode>
                <c:ptCount val="37"/>
                <c:pt idx="0">
                  <c:v>52672</c:v>
                </c:pt>
                <c:pt idx="1">
                  <c:v>20062</c:v>
                </c:pt>
                <c:pt idx="2">
                  <c:v>13914</c:v>
                </c:pt>
                <c:pt idx="3">
                  <c:v>11587</c:v>
                </c:pt>
                <c:pt idx="4">
                  <c:v>4974</c:v>
                </c:pt>
                <c:pt idx="5">
                  <c:v>4915</c:v>
                </c:pt>
                <c:pt idx="6">
                  <c:v>4776</c:v>
                </c:pt>
                <c:pt idx="7">
                  <c:v>2980</c:v>
                </c:pt>
                <c:pt idx="8">
                  <c:v>2890</c:v>
                </c:pt>
                <c:pt idx="9">
                  <c:v>2762</c:v>
                </c:pt>
                <c:pt idx="10">
                  <c:v>2308</c:v>
                </c:pt>
                <c:pt idx="11">
                  <c:v>2306</c:v>
                </c:pt>
                <c:pt idx="12">
                  <c:v>1646</c:v>
                </c:pt>
                <c:pt idx="13">
                  <c:v>1579</c:v>
                </c:pt>
                <c:pt idx="14">
                  <c:v>1454</c:v>
                </c:pt>
                <c:pt idx="15">
                  <c:v>875</c:v>
                </c:pt>
                <c:pt idx="16">
                  <c:v>758</c:v>
                </c:pt>
                <c:pt idx="17">
                  <c:v>690</c:v>
                </c:pt>
                <c:pt idx="18">
                  <c:v>417</c:v>
                </c:pt>
                <c:pt idx="19">
                  <c:v>297</c:v>
                </c:pt>
                <c:pt idx="20">
                  <c:v>250</c:v>
                </c:pt>
                <c:pt idx="21">
                  <c:v>223</c:v>
                </c:pt>
                <c:pt idx="22">
                  <c:v>79</c:v>
                </c:pt>
                <c:pt idx="23">
                  <c:v>25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B-BB49-92CC-F93B7296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05132415"/>
        <c:axId val="1905137791"/>
      </c:barChart>
      <c:catAx>
        <c:axId val="19051324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37791"/>
        <c:crosses val="autoZero"/>
        <c:auto val="1"/>
        <c:lblAlgn val="ctr"/>
        <c:lblOffset val="100"/>
        <c:noMultiLvlLbl val="0"/>
      </c:catAx>
      <c:valAx>
        <c:axId val="190513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3241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'total_revenue' and 'avg_bottle_price' appear to form a cluster with </a:t>
            </a:r>
            <a:r>
              <a:rPr lang="en-US">
                <a:solidFill>
                  <a:srgbClr val="DD5A13"/>
                </a:solidFill>
              </a:rPr>
              <a:t>3</a:t>
            </a:r>
            <a:r>
              <a:rPr lang="en-US"/>
              <a:t> outliers.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'Tequila Vendor Performance'!$F$1</c:f>
              <c:strCache>
                <c:ptCount val="1"/>
                <c:pt idx="0">
                  <c:v>avg_bottle_price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81E-CC41-B82D-AFC3AA41D8B8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81E-CC41-B82D-AFC3AA41D8B8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81E-CC41-B82D-AFC3AA41D8B8}"/>
              </c:ext>
            </c:extLst>
          </c:dPt>
          <c:xVal>
            <c:numRef>
              <c:f>'Tequila Vendor Performance'!$E$2:$E$50</c:f>
              <c:numCache>
                <c:formatCode>General</c:formatCode>
                <c:ptCount val="49"/>
                <c:pt idx="0">
                  <c:v>7057569.5499999998</c:v>
                </c:pt>
                <c:pt idx="1">
                  <c:v>4913271.3600000003</c:v>
                </c:pt>
                <c:pt idx="2">
                  <c:v>2691583.24</c:v>
                </c:pt>
                <c:pt idx="3">
                  <c:v>1465242.05</c:v>
                </c:pt>
                <c:pt idx="4">
                  <c:v>964354.83</c:v>
                </c:pt>
                <c:pt idx="5">
                  <c:v>839361.92</c:v>
                </c:pt>
                <c:pt idx="6">
                  <c:v>550946.55000000005</c:v>
                </c:pt>
                <c:pt idx="7">
                  <c:v>541555.62</c:v>
                </c:pt>
                <c:pt idx="8">
                  <c:v>312114.17</c:v>
                </c:pt>
                <c:pt idx="9">
                  <c:v>289620</c:v>
                </c:pt>
                <c:pt idx="10">
                  <c:v>261789.3</c:v>
                </c:pt>
                <c:pt idx="11">
                  <c:v>250674.28</c:v>
                </c:pt>
                <c:pt idx="12">
                  <c:v>237699.39</c:v>
                </c:pt>
                <c:pt idx="13">
                  <c:v>236527.77</c:v>
                </c:pt>
                <c:pt idx="14">
                  <c:v>151639.19</c:v>
                </c:pt>
                <c:pt idx="15">
                  <c:v>133476.24</c:v>
                </c:pt>
                <c:pt idx="16">
                  <c:v>69144.08</c:v>
                </c:pt>
                <c:pt idx="17">
                  <c:v>61833.86</c:v>
                </c:pt>
                <c:pt idx="18">
                  <c:v>56427.15</c:v>
                </c:pt>
                <c:pt idx="19">
                  <c:v>50604.08</c:v>
                </c:pt>
                <c:pt idx="20">
                  <c:v>46990.17</c:v>
                </c:pt>
                <c:pt idx="21">
                  <c:v>38926.980000000003</c:v>
                </c:pt>
                <c:pt idx="22">
                  <c:v>34615.24</c:v>
                </c:pt>
                <c:pt idx="23">
                  <c:v>31761.89</c:v>
                </c:pt>
                <c:pt idx="24">
                  <c:v>24379.759999999998</c:v>
                </c:pt>
                <c:pt idx="25">
                  <c:v>23355.24</c:v>
                </c:pt>
                <c:pt idx="26">
                  <c:v>17275</c:v>
                </c:pt>
                <c:pt idx="27">
                  <c:v>12910.17</c:v>
                </c:pt>
                <c:pt idx="28">
                  <c:v>8123.62</c:v>
                </c:pt>
                <c:pt idx="29">
                  <c:v>7964.31</c:v>
                </c:pt>
                <c:pt idx="30">
                  <c:v>7791.74</c:v>
                </c:pt>
                <c:pt idx="31">
                  <c:v>3175.27</c:v>
                </c:pt>
                <c:pt idx="32">
                  <c:v>2955.42</c:v>
                </c:pt>
                <c:pt idx="33">
                  <c:v>2809.08</c:v>
                </c:pt>
                <c:pt idx="34">
                  <c:v>2432.34</c:v>
                </c:pt>
                <c:pt idx="35">
                  <c:v>1700.4</c:v>
                </c:pt>
                <c:pt idx="36">
                  <c:v>1224.3599999999999</c:v>
                </c:pt>
                <c:pt idx="37">
                  <c:v>1123.44</c:v>
                </c:pt>
                <c:pt idx="38">
                  <c:v>1067.76</c:v>
                </c:pt>
                <c:pt idx="39">
                  <c:v>1023</c:v>
                </c:pt>
                <c:pt idx="40">
                  <c:v>900</c:v>
                </c:pt>
                <c:pt idx="41">
                  <c:v>540</c:v>
                </c:pt>
                <c:pt idx="42">
                  <c:v>537.05999999999995</c:v>
                </c:pt>
                <c:pt idx="43">
                  <c:v>510.06</c:v>
                </c:pt>
                <c:pt idx="44">
                  <c:v>447</c:v>
                </c:pt>
                <c:pt idx="45">
                  <c:v>397.44</c:v>
                </c:pt>
                <c:pt idx="46">
                  <c:v>372.84</c:v>
                </c:pt>
                <c:pt idx="47">
                  <c:v>265.68</c:v>
                </c:pt>
                <c:pt idx="48">
                  <c:v>253.74</c:v>
                </c:pt>
              </c:numCache>
            </c:numRef>
          </c:xVal>
          <c:yVal>
            <c:numRef>
              <c:f>'Tequila Vendor Performance'!$F$2:$F$50</c:f>
              <c:numCache>
                <c:formatCode>General</c:formatCode>
                <c:ptCount val="49"/>
                <c:pt idx="0">
                  <c:v>16.309999999999999</c:v>
                </c:pt>
                <c:pt idx="1">
                  <c:v>34.68</c:v>
                </c:pt>
                <c:pt idx="2">
                  <c:v>12.12</c:v>
                </c:pt>
                <c:pt idx="3">
                  <c:v>18.100000000000001</c:v>
                </c:pt>
                <c:pt idx="4">
                  <c:v>12.45</c:v>
                </c:pt>
                <c:pt idx="5">
                  <c:v>45.22</c:v>
                </c:pt>
                <c:pt idx="6">
                  <c:v>11.05</c:v>
                </c:pt>
                <c:pt idx="7">
                  <c:v>21.71</c:v>
                </c:pt>
                <c:pt idx="8">
                  <c:v>23.22</c:v>
                </c:pt>
                <c:pt idx="9">
                  <c:v>15</c:v>
                </c:pt>
                <c:pt idx="10">
                  <c:v>11.81</c:v>
                </c:pt>
                <c:pt idx="11">
                  <c:v>11.36</c:v>
                </c:pt>
                <c:pt idx="12">
                  <c:v>28.95</c:v>
                </c:pt>
                <c:pt idx="13">
                  <c:v>10.9</c:v>
                </c:pt>
                <c:pt idx="14">
                  <c:v>28.35</c:v>
                </c:pt>
                <c:pt idx="15">
                  <c:v>22.35</c:v>
                </c:pt>
                <c:pt idx="16">
                  <c:v>29.04</c:v>
                </c:pt>
                <c:pt idx="17">
                  <c:v>24.34</c:v>
                </c:pt>
                <c:pt idx="18">
                  <c:v>11.07</c:v>
                </c:pt>
                <c:pt idx="19">
                  <c:v>30.32</c:v>
                </c:pt>
                <c:pt idx="20">
                  <c:v>12.88</c:v>
                </c:pt>
                <c:pt idx="21">
                  <c:v>41.05</c:v>
                </c:pt>
                <c:pt idx="22">
                  <c:v>16.59</c:v>
                </c:pt>
                <c:pt idx="23">
                  <c:v>11.49</c:v>
                </c:pt>
                <c:pt idx="24">
                  <c:v>11.14</c:v>
                </c:pt>
                <c:pt idx="25">
                  <c:v>15.87</c:v>
                </c:pt>
                <c:pt idx="26">
                  <c:v>26.57</c:v>
                </c:pt>
                <c:pt idx="27">
                  <c:v>10.85</c:v>
                </c:pt>
                <c:pt idx="28">
                  <c:v>42.54</c:v>
                </c:pt>
                <c:pt idx="29">
                  <c:v>42.54</c:v>
                </c:pt>
                <c:pt idx="30">
                  <c:v>23.54</c:v>
                </c:pt>
                <c:pt idx="31">
                  <c:v>12.67</c:v>
                </c:pt>
                <c:pt idx="32">
                  <c:v>46.34</c:v>
                </c:pt>
                <c:pt idx="33">
                  <c:v>26.01</c:v>
                </c:pt>
                <c:pt idx="34">
                  <c:v>33.78</c:v>
                </c:pt>
                <c:pt idx="35">
                  <c:v>47.23</c:v>
                </c:pt>
                <c:pt idx="36">
                  <c:v>34.01</c:v>
                </c:pt>
                <c:pt idx="37">
                  <c:v>46.81</c:v>
                </c:pt>
                <c:pt idx="38">
                  <c:v>29.66</c:v>
                </c:pt>
                <c:pt idx="39">
                  <c:v>20.46</c:v>
                </c:pt>
                <c:pt idx="40">
                  <c:v>30</c:v>
                </c:pt>
                <c:pt idx="41">
                  <c:v>15</c:v>
                </c:pt>
                <c:pt idx="42">
                  <c:v>89.51</c:v>
                </c:pt>
                <c:pt idx="43">
                  <c:v>42.51</c:v>
                </c:pt>
                <c:pt idx="44">
                  <c:v>37.25</c:v>
                </c:pt>
                <c:pt idx="45">
                  <c:v>33.119999999999997</c:v>
                </c:pt>
                <c:pt idx="46">
                  <c:v>31.07</c:v>
                </c:pt>
                <c:pt idx="47">
                  <c:v>44.28</c:v>
                </c:pt>
                <c:pt idx="48">
                  <c:v>42.29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1E-CC41-B82D-AFC3AA41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299519"/>
        <c:axId val="1904307583"/>
      </c:scatterChart>
      <c:valAx>
        <c:axId val="190429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07583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043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avg_bottle_price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9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774700</xdr:colOff>
      <xdr:row>1</xdr:row>
      <xdr:rowOff>76200</xdr:rowOff>
    </xdr:from>
    <xdr:to>
      <xdr:col>11</xdr:col>
      <xdr:colOff>647700</xdr:colOff>
      <xdr:row>20</xdr:row>
      <xdr:rowOff>101600</xdr:rowOff>
    </xdr:to>
    <xdr:graphicFrame macro="">
      <xdr:nvGraphicFramePr>
        <xdr:cNvPr id="2" name="Chart 1" descr="Chart type: Clustered Bar. 'vendor_name': Proximo has noticeably higher 'transaction_count'.&#10;&#10;Description automatically generated">
          <a:extLst>
            <a:ext uri="{FF2B5EF4-FFF2-40B4-BE49-F238E27FC236}">
              <a16:creationId xmlns:a16="http://schemas.microsoft.com/office/drawing/2014/main" id="{E84E9C7A-B9DC-4AD8-4CFB-9B14E5222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787400</xdr:colOff>
      <xdr:row>22</xdr:row>
      <xdr:rowOff>101600</xdr:rowOff>
    </xdr:from>
    <xdr:to>
      <xdr:col>11</xdr:col>
      <xdr:colOff>609600</xdr:colOff>
      <xdr:row>39</xdr:row>
      <xdr:rowOff>177800</xdr:rowOff>
    </xdr:to>
    <xdr:graphicFrame macro="">
      <xdr:nvGraphicFramePr>
        <xdr:cNvPr id="3" name="Chart 2" descr="Chart type: Scatter. 'total_revenue' and 'avg_bottle_price' appear to form a cluster with 3 outliers.&#10;&#10;Description automatically generated">
          <a:extLst>
            <a:ext uri="{FF2B5EF4-FFF2-40B4-BE49-F238E27FC236}">
              <a16:creationId xmlns:a16="http://schemas.microsoft.com/office/drawing/2014/main" id="{75ABB7E1-75E0-9847-9123-407C09C50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e" refreshedDate="46142.99003148148" createdVersion="8" refreshedVersion="8" minRefreshableVersion="3" recordCount="49" xr:uid="{76149073-51CF-F340-B98A-BCCC49C16418}">
  <cacheSource type="worksheet">
    <worksheetSource ref="A1:F50" sheet="Tequila Vendor Performance"/>
  </cacheSource>
  <cacheFields count="6">
    <cacheField name="vendor" numFmtId="0">
      <sharedItems/>
    </cacheField>
    <cacheField name="vendor_name" numFmtId="0">
      <sharedItems count="37">
        <s v="Proximo"/>
        <s v="The Patron Spirits Company"/>
        <s v="Luxco-st Louis"/>
        <s v="Jim Beam Brands"/>
        <s v="Sazerac North America"/>
        <s v="Diageo Americas"/>
        <s v="Sazerac Co. Inc."/>
        <s v="Brown-forman Corporation"/>
        <s v="Pernod Ricard Usa/austin Nichols"/>
        <s v="E And J Gallo Winery"/>
        <s v="Luxco-cleveland"/>
        <s v="Campari(skyy)"/>
        <s v="Monsieur Henri Wines Ltd."/>
        <s v="Bacardi U.s.a. Inc."/>
        <s v="Wilson Daniels Ltd."/>
        <s v="Trinchero Family Estates"/>
        <s v="William Grant And Sons Inc."/>
        <s v="Santa Fe Tequila Company"/>
        <s v="Heaven Hill Distilleries Inc."/>
        <s v="Sidney Frank Importing Co."/>
        <s v="Phillips Beverage Company"/>
        <s v="Mccormick Distilling Company"/>
        <s v="Mhw Ltd"/>
        <s v="Aveniu Brands"/>
        <s v="Anchor Distilling (preiss Imports)"/>
        <s v="Marsalle Company/stoller Warehouse"/>
        <s v="Park Street Imports- Caballeros"/>
        <s v="Constellation Wine Company Inc."/>
        <s v="Modern Spirits"/>
        <s v="Jomada Imports Llc."/>
        <s v="Park Street Imports-tanteo"/>
        <s v="NULL"/>
        <s v="Liquor Group Wholesale"/>
        <s v="Casa 1921 Llc"/>
        <s v="Domaine Charbay"/>
        <s v="Intersect Beverage Llc"/>
        <s v="Shaw Ross International Importers Ll"/>
      </sharedItems>
    </cacheField>
    <cacheField name="transaction_count" numFmtId="0">
      <sharedItems containsSemiMixedTypes="0" containsString="0" containsNumber="1" containsInteger="1" minValue="1" maxValue="52672"/>
    </cacheField>
    <cacheField name="total_bottles_sold" numFmtId="0">
      <sharedItems containsSemiMixedTypes="0" containsString="0" containsNumber="1" containsInteger="1" minValue="6" maxValue="460133"/>
    </cacheField>
    <cacheField name="total_revenue" numFmtId="0">
      <sharedItems containsSemiMixedTypes="0" containsString="0" containsNumber="1" minValue="253.74" maxValue="7057569.5499999998"/>
    </cacheField>
    <cacheField name="avg_bottle_price" numFmtId="0">
      <sharedItems containsSemiMixedTypes="0" containsString="0" containsNumber="1" minValue="10.85" maxValue="89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Proximo"/>
    <x v="0"/>
    <n v="52672"/>
    <n v="460133"/>
    <n v="7057569.5499999998"/>
    <n v="16.309999999999999"/>
  </r>
  <r>
    <s v="The Patron Spirits Company"/>
    <x v="1"/>
    <n v="20062"/>
    <n v="135393"/>
    <n v="4913271.3600000003"/>
    <n v="34.68"/>
  </r>
  <r>
    <s v="Luxco-St Louis"/>
    <x v="2"/>
    <n v="12606"/>
    <n v="252630"/>
    <n v="2691583.24"/>
    <n v="12.12"/>
  </r>
  <r>
    <s v="Jim Beam Brands"/>
    <x v="3"/>
    <n v="11587"/>
    <n v="82660"/>
    <n v="1465242.05"/>
    <n v="18.100000000000001"/>
  </r>
  <r>
    <s v="Sazerac North America"/>
    <x v="4"/>
    <n v="2306"/>
    <n v="90117"/>
    <n v="964354.83"/>
    <n v="12.45"/>
  </r>
  <r>
    <s v="Diageo Americas"/>
    <x v="5"/>
    <n v="4776"/>
    <n v="18957"/>
    <n v="839361.92"/>
    <n v="45.22"/>
  </r>
  <r>
    <s v="Sazerac Co. Inc."/>
    <x v="6"/>
    <n v="4392"/>
    <n v="52667"/>
    <n v="550946.55000000005"/>
    <n v="11.05"/>
  </r>
  <r>
    <s v="Brown-Forman Corporation"/>
    <x v="7"/>
    <n v="4974"/>
    <n v="25785"/>
    <n v="541555.62"/>
    <n v="21.71"/>
  </r>
  <r>
    <s v="Pernod Ricard USA/Austin Nichols"/>
    <x v="8"/>
    <n v="2762"/>
    <n v="18152"/>
    <n v="312114.17"/>
    <n v="23.22"/>
  </r>
  <r>
    <s v="E AND J GALLO WINERY"/>
    <x v="9"/>
    <n v="2980"/>
    <n v="19308"/>
    <n v="289620"/>
    <n v="15"/>
  </r>
  <r>
    <s v="LUXCO"/>
    <x v="2"/>
    <n v="1308"/>
    <n v="24806"/>
    <n v="261789.3"/>
    <n v="11.81"/>
  </r>
  <r>
    <s v="Luxco-Cleveland"/>
    <x v="10"/>
    <n v="1354"/>
    <n v="24089"/>
    <n v="250674.28"/>
    <n v="11.36"/>
  </r>
  <r>
    <s v="Campari(skyy)"/>
    <x v="11"/>
    <n v="2308"/>
    <n v="8185"/>
    <n v="237699.39"/>
    <n v="28.95"/>
  </r>
  <r>
    <s v="Monsieur Henri Wines Ltd."/>
    <x v="12"/>
    <n v="2529"/>
    <n v="21353"/>
    <n v="236527.77"/>
    <n v="10.9"/>
  </r>
  <r>
    <s v="Bacardi U.S.A. Inc."/>
    <x v="13"/>
    <n v="1441"/>
    <n v="5458"/>
    <n v="151639.19"/>
    <n v="28.35"/>
  </r>
  <r>
    <s v="Wilson Daniels Ltd."/>
    <x v="14"/>
    <n v="1454"/>
    <n v="5901"/>
    <n v="133476.24"/>
    <n v="22.35"/>
  </r>
  <r>
    <s v="Trinchero Family Estates"/>
    <x v="15"/>
    <n v="875"/>
    <n v="2383"/>
    <n v="69144.08"/>
    <n v="29.04"/>
  </r>
  <r>
    <s v="WILLIAM GRANT AND SONS INC."/>
    <x v="16"/>
    <n v="605"/>
    <n v="2497"/>
    <n v="61833.86"/>
    <n v="24.34"/>
  </r>
  <r>
    <s v="Sazerac Co., Inc."/>
    <x v="6"/>
    <n v="523"/>
    <n v="5400"/>
    <n v="56427.15"/>
    <n v="11.07"/>
  </r>
  <r>
    <s v="Santa Fe Tequila Company"/>
    <x v="17"/>
    <n v="297"/>
    <n v="1669"/>
    <n v="50604.08"/>
    <n v="30.32"/>
  </r>
  <r>
    <s v="Heaven Hill Distilleries Inc."/>
    <x v="18"/>
    <n v="696"/>
    <n v="3398"/>
    <n v="46990.17"/>
    <n v="12.88"/>
  </r>
  <r>
    <s v="Sidney Frank Importing Co."/>
    <x v="19"/>
    <n v="221"/>
    <n v="948"/>
    <n v="38926.980000000003"/>
    <n v="41.05"/>
  </r>
  <r>
    <s v="Phillips Beverage Company"/>
    <x v="20"/>
    <n v="417"/>
    <n v="2084"/>
    <n v="34615.24"/>
    <n v="16.59"/>
  </r>
  <r>
    <s v="Gemini Spirits"/>
    <x v="12"/>
    <n v="361"/>
    <n v="2719"/>
    <n v="31761.89"/>
    <n v="11.49"/>
  </r>
  <r>
    <s v="PARAMOUNT DISTILLERS INC."/>
    <x v="10"/>
    <n v="138"/>
    <n v="2344"/>
    <n v="24379.759999999998"/>
    <n v="11.14"/>
  </r>
  <r>
    <s v="Mccormick Distilling Company"/>
    <x v="21"/>
    <n v="250"/>
    <n v="1443"/>
    <n v="23355.24"/>
    <n v="15.87"/>
  </r>
  <r>
    <s v="Bacardi U.S.A., Inc."/>
    <x v="13"/>
    <n v="205"/>
    <n v="662"/>
    <n v="17275"/>
    <n v="26.57"/>
  </r>
  <r>
    <s v="Luxco-St Louis"/>
    <x v="10"/>
    <n v="87"/>
    <n v="1263"/>
    <n v="12910.17"/>
    <n v="10.85"/>
  </r>
  <r>
    <s v="MHW Ltd"/>
    <x v="22"/>
    <n v="25"/>
    <n v="190"/>
    <n v="8123.62"/>
    <n v="42.54"/>
  </r>
  <r>
    <s v="Aveniu Brands"/>
    <x v="23"/>
    <n v="79"/>
    <n v="299"/>
    <n v="7964.31"/>
    <n v="42.54"/>
  </r>
  <r>
    <s v="WILLIAM GRANT AND SONS, INC."/>
    <x v="16"/>
    <n v="85"/>
    <n v="331"/>
    <n v="7791.74"/>
    <n v="23.54"/>
  </r>
  <r>
    <s v="Heaven Hill Brands"/>
    <x v="18"/>
    <n v="62"/>
    <n v="250"/>
    <n v="3175.27"/>
    <n v="12.67"/>
  </r>
  <r>
    <s v="Anchor Distilling (PREISS IMPORTS)"/>
    <x v="24"/>
    <n v="10"/>
    <n v="66"/>
    <n v="2955.42"/>
    <n v="46.34"/>
  </r>
  <r>
    <s v="Marsalle Company/Stoller Warehouse"/>
    <x v="25"/>
    <n v="6"/>
    <n v="108"/>
    <n v="2809.08"/>
    <n v="26.01"/>
  </r>
  <r>
    <s v="Park Street Imports- Caballeros"/>
    <x v="26"/>
    <n v="8"/>
    <n v="72"/>
    <n v="2432.34"/>
    <n v="33.78"/>
  </r>
  <r>
    <s v="Wilson Daniels Ltd."/>
    <x v="27"/>
    <n v="6"/>
    <n v="36"/>
    <n v="1700.4"/>
    <n v="47.23"/>
  </r>
  <r>
    <s v="Modern Spirits"/>
    <x v="28"/>
    <n v="6"/>
    <n v="36"/>
    <n v="1224.3599999999999"/>
    <n v="34.01"/>
  </r>
  <r>
    <s v="Jomada Imports LLC."/>
    <x v="29"/>
    <n v="4"/>
    <n v="24"/>
    <n v="1123.44"/>
    <n v="46.81"/>
  </r>
  <r>
    <s v="Park Street Imports-Tanteo"/>
    <x v="30"/>
    <n v="5"/>
    <n v="36"/>
    <n v="1067.76"/>
    <n v="29.66"/>
  </r>
  <r>
    <s v="Jim Beam Brands"/>
    <x v="31"/>
    <n v="8"/>
    <n v="50"/>
    <n v="1023"/>
    <n v="20.46"/>
  </r>
  <r>
    <s v="Constellation Wine Company Inc."/>
    <x v="27"/>
    <n v="1"/>
    <n v="30"/>
    <n v="900"/>
    <n v="30"/>
  </r>
  <r>
    <s v="Mccormick Distilling Company"/>
    <x v="31"/>
    <n v="1"/>
    <n v="36"/>
    <n v="540"/>
    <n v="15"/>
  </r>
  <r>
    <s v="Liquor Group Wholesale"/>
    <x v="32"/>
    <n v="2"/>
    <n v="6"/>
    <n v="537.05999999999995"/>
    <n v="89.51"/>
  </r>
  <r>
    <s v="MHW Ltd"/>
    <x v="33"/>
    <n v="2"/>
    <n v="12"/>
    <n v="510.06"/>
    <n v="42.51"/>
  </r>
  <r>
    <s v="Serralles USA"/>
    <x v="19"/>
    <n v="2"/>
    <n v="12"/>
    <n v="447"/>
    <n v="37.25"/>
  </r>
  <r>
    <s v="Domaine Charbay"/>
    <x v="34"/>
    <n v="1"/>
    <n v="12"/>
    <n v="397.44"/>
    <n v="33.119999999999997"/>
  </r>
  <r>
    <s v="MHW Ltd"/>
    <x v="26"/>
    <n v="2"/>
    <n v="12"/>
    <n v="372.84"/>
    <n v="31.07"/>
  </r>
  <r>
    <s v="Intersect Beverage LLC"/>
    <x v="35"/>
    <n v="1"/>
    <n v="6"/>
    <n v="265.68"/>
    <n v="44.28"/>
  </r>
  <r>
    <s v="Shaw Ross International Importers LL"/>
    <x v="36"/>
    <n v="1"/>
    <n v="6"/>
    <n v="253.74"/>
    <n v="42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2E5BD-16E3-CC46-BCF8-D7D5DEF20E28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C40" firstHeaderRow="1" firstDataRow="1" firstDataCol="1"/>
  <pivotFields count="6">
    <pivotField compact="0" outline="0" showAll="0"/>
    <pivotField axis="axisRow" compact="0" outline="0" showAll="0" sortType="descending">
      <items count="38">
        <item x="24"/>
        <item x="23"/>
        <item x="13"/>
        <item x="7"/>
        <item x="11"/>
        <item x="33"/>
        <item x="27"/>
        <item x="5"/>
        <item x="34"/>
        <item x="9"/>
        <item x="18"/>
        <item x="35"/>
        <item x="3"/>
        <item x="29"/>
        <item x="32"/>
        <item x="10"/>
        <item x="2"/>
        <item x="25"/>
        <item x="21"/>
        <item x="22"/>
        <item x="28"/>
        <item x="12"/>
        <item x="31"/>
        <item x="26"/>
        <item x="30"/>
        <item x="8"/>
        <item x="20"/>
        <item x="0"/>
        <item x="17"/>
        <item x="6"/>
        <item x="4"/>
        <item x="36"/>
        <item x="19"/>
        <item x="1"/>
        <item x="15"/>
        <item x="1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8">
    <i>
      <x v="27"/>
    </i>
    <i>
      <x v="33"/>
    </i>
    <i>
      <x v="16"/>
    </i>
    <i>
      <x v="12"/>
    </i>
    <i>
      <x v="3"/>
    </i>
    <i>
      <x v="29"/>
    </i>
    <i>
      <x v="7"/>
    </i>
    <i>
      <x v="9"/>
    </i>
    <i>
      <x v="21"/>
    </i>
    <i>
      <x v="25"/>
    </i>
    <i>
      <x v="4"/>
    </i>
    <i>
      <x v="30"/>
    </i>
    <i>
      <x v="2"/>
    </i>
    <i>
      <x v="15"/>
    </i>
    <i>
      <x v="36"/>
    </i>
    <i>
      <x v="34"/>
    </i>
    <i>
      <x v="10"/>
    </i>
    <i>
      <x v="35"/>
    </i>
    <i>
      <x v="26"/>
    </i>
    <i>
      <x v="28"/>
    </i>
    <i>
      <x v="18"/>
    </i>
    <i>
      <x v="32"/>
    </i>
    <i>
      <x v="1"/>
    </i>
    <i>
      <x v="19"/>
    </i>
    <i>
      <x/>
    </i>
    <i>
      <x v="23"/>
    </i>
    <i>
      <x v="22"/>
    </i>
    <i>
      <x v="6"/>
    </i>
    <i>
      <x v="17"/>
    </i>
    <i>
      <x v="20"/>
    </i>
    <i>
      <x v="24"/>
    </i>
    <i>
      <x v="13"/>
    </i>
    <i>
      <x v="5"/>
    </i>
    <i>
      <x v="14"/>
    </i>
    <i>
      <x v="31"/>
    </i>
    <i>
      <x v="11"/>
    </i>
    <i>
      <x v="8"/>
    </i>
    <i t="grand">
      <x/>
    </i>
  </rowItems>
  <colItems count="1">
    <i/>
  </colItems>
  <dataFields count="1">
    <dataField name="Sum of transaction_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44E2-5F0B-2C47-AB94-4A3675C13DD9}">
  <dimension ref="B2:C40"/>
  <sheetViews>
    <sheetView showGridLines="0" tabSelected="1" workbookViewId="0">
      <selection activeCell="N10" sqref="N10"/>
    </sheetView>
  </sheetViews>
  <sheetFormatPr baseColWidth="10" defaultRowHeight="16" x14ac:dyDescent="0.2"/>
  <cols>
    <col min="2" max="2" width="32.1640625" bestFit="1" customWidth="1"/>
    <col min="3" max="3" width="22.5" bestFit="1" customWidth="1"/>
  </cols>
  <sheetData>
    <row r="2" spans="2:3" x14ac:dyDescent="0.2">
      <c r="B2" s="2" t="s">
        <v>1</v>
      </c>
      <c r="C2" t="s">
        <v>65</v>
      </c>
    </row>
    <row r="3" spans="2:3" x14ac:dyDescent="0.2">
      <c r="B3" t="s">
        <v>6</v>
      </c>
      <c r="C3" s="1">
        <v>52672</v>
      </c>
    </row>
    <row r="4" spans="2:3" x14ac:dyDescent="0.2">
      <c r="B4" t="s">
        <v>7</v>
      </c>
      <c r="C4" s="1">
        <v>20062</v>
      </c>
    </row>
    <row r="5" spans="2:3" x14ac:dyDescent="0.2">
      <c r="B5" t="s">
        <v>9</v>
      </c>
      <c r="C5" s="1">
        <v>13914</v>
      </c>
    </row>
    <row r="6" spans="2:3" x14ac:dyDescent="0.2">
      <c r="B6" t="s">
        <v>10</v>
      </c>
      <c r="C6" s="1">
        <v>11587</v>
      </c>
    </row>
    <row r="7" spans="2:3" x14ac:dyDescent="0.2">
      <c r="B7" t="s">
        <v>15</v>
      </c>
      <c r="C7" s="1">
        <v>4974</v>
      </c>
    </row>
    <row r="8" spans="2:3" x14ac:dyDescent="0.2">
      <c r="B8" t="s">
        <v>13</v>
      </c>
      <c r="C8" s="1">
        <v>4915</v>
      </c>
    </row>
    <row r="9" spans="2:3" x14ac:dyDescent="0.2">
      <c r="B9" t="s">
        <v>12</v>
      </c>
      <c r="C9" s="1">
        <v>4776</v>
      </c>
    </row>
    <row r="10" spans="2:3" x14ac:dyDescent="0.2">
      <c r="B10" t="s">
        <v>19</v>
      </c>
      <c r="C10" s="1">
        <v>2980</v>
      </c>
    </row>
    <row r="11" spans="2:3" x14ac:dyDescent="0.2">
      <c r="B11" t="s">
        <v>24</v>
      </c>
      <c r="C11" s="1">
        <v>2890</v>
      </c>
    </row>
    <row r="12" spans="2:3" x14ac:dyDescent="0.2">
      <c r="B12" t="s">
        <v>17</v>
      </c>
      <c r="C12" s="1">
        <v>2762</v>
      </c>
    </row>
    <row r="13" spans="2:3" x14ac:dyDescent="0.2">
      <c r="B13" t="s">
        <v>23</v>
      </c>
      <c r="C13" s="1">
        <v>2308</v>
      </c>
    </row>
    <row r="14" spans="2:3" x14ac:dyDescent="0.2">
      <c r="B14" t="s">
        <v>11</v>
      </c>
      <c r="C14" s="1">
        <v>2306</v>
      </c>
    </row>
    <row r="15" spans="2:3" x14ac:dyDescent="0.2">
      <c r="B15" t="s">
        <v>26</v>
      </c>
      <c r="C15" s="1">
        <v>1646</v>
      </c>
    </row>
    <row r="16" spans="2:3" x14ac:dyDescent="0.2">
      <c r="B16" t="s">
        <v>22</v>
      </c>
      <c r="C16" s="1">
        <v>1579</v>
      </c>
    </row>
    <row r="17" spans="2:3" x14ac:dyDescent="0.2">
      <c r="B17" t="s">
        <v>27</v>
      </c>
      <c r="C17" s="1">
        <v>1454</v>
      </c>
    </row>
    <row r="18" spans="2:3" x14ac:dyDescent="0.2">
      <c r="B18" t="s">
        <v>28</v>
      </c>
      <c r="C18" s="1">
        <v>875</v>
      </c>
    </row>
    <row r="19" spans="2:3" x14ac:dyDescent="0.2">
      <c r="B19" t="s">
        <v>33</v>
      </c>
      <c r="C19" s="1">
        <v>758</v>
      </c>
    </row>
    <row r="20" spans="2:3" x14ac:dyDescent="0.2">
      <c r="B20" t="s">
        <v>30</v>
      </c>
      <c r="C20" s="1">
        <v>690</v>
      </c>
    </row>
    <row r="21" spans="2:3" x14ac:dyDescent="0.2">
      <c r="B21" t="s">
        <v>35</v>
      </c>
      <c r="C21" s="1">
        <v>417</v>
      </c>
    </row>
    <row r="22" spans="2:3" x14ac:dyDescent="0.2">
      <c r="B22" t="s">
        <v>32</v>
      </c>
      <c r="C22" s="1">
        <v>297</v>
      </c>
    </row>
    <row r="23" spans="2:3" x14ac:dyDescent="0.2">
      <c r="B23" t="s">
        <v>38</v>
      </c>
      <c r="C23" s="1">
        <v>250</v>
      </c>
    </row>
    <row r="24" spans="2:3" x14ac:dyDescent="0.2">
      <c r="B24" t="s">
        <v>34</v>
      </c>
      <c r="C24" s="1">
        <v>223</v>
      </c>
    </row>
    <row r="25" spans="2:3" x14ac:dyDescent="0.2">
      <c r="B25" t="s">
        <v>42</v>
      </c>
      <c r="C25" s="1">
        <v>79</v>
      </c>
    </row>
    <row r="26" spans="2:3" x14ac:dyDescent="0.2">
      <c r="B26" t="s">
        <v>41</v>
      </c>
      <c r="C26" s="1">
        <v>25</v>
      </c>
    </row>
    <row r="27" spans="2:3" x14ac:dyDescent="0.2">
      <c r="B27" t="s">
        <v>46</v>
      </c>
      <c r="C27" s="1">
        <v>10</v>
      </c>
    </row>
    <row r="28" spans="2:3" x14ac:dyDescent="0.2">
      <c r="B28" t="s">
        <v>49</v>
      </c>
      <c r="C28" s="1">
        <v>10</v>
      </c>
    </row>
    <row r="29" spans="2:3" x14ac:dyDescent="0.2">
      <c r="B29" t="s">
        <v>56</v>
      </c>
      <c r="C29" s="1">
        <v>9</v>
      </c>
    </row>
    <row r="30" spans="2:3" x14ac:dyDescent="0.2">
      <c r="B30" t="s">
        <v>50</v>
      </c>
      <c r="C30" s="1">
        <v>7</v>
      </c>
    </row>
    <row r="31" spans="2:3" x14ac:dyDescent="0.2">
      <c r="B31" t="s">
        <v>48</v>
      </c>
      <c r="C31" s="1">
        <v>6</v>
      </c>
    </row>
    <row r="32" spans="2:3" x14ac:dyDescent="0.2">
      <c r="B32" t="s">
        <v>51</v>
      </c>
      <c r="C32" s="1">
        <v>6</v>
      </c>
    </row>
    <row r="33" spans="2:3" x14ac:dyDescent="0.2">
      <c r="B33" t="s">
        <v>55</v>
      </c>
      <c r="C33" s="1">
        <v>5</v>
      </c>
    </row>
    <row r="34" spans="2:3" x14ac:dyDescent="0.2">
      <c r="B34" t="s">
        <v>53</v>
      </c>
      <c r="C34" s="1">
        <v>4</v>
      </c>
    </row>
    <row r="35" spans="2:3" x14ac:dyDescent="0.2">
      <c r="B35" t="s">
        <v>58</v>
      </c>
      <c r="C35" s="1">
        <v>2</v>
      </c>
    </row>
    <row r="36" spans="2:3" x14ac:dyDescent="0.2">
      <c r="B36" t="s">
        <v>57</v>
      </c>
      <c r="C36" s="1">
        <v>2</v>
      </c>
    </row>
    <row r="37" spans="2:3" x14ac:dyDescent="0.2">
      <c r="B37" t="s">
        <v>64</v>
      </c>
      <c r="C37" s="1">
        <v>1</v>
      </c>
    </row>
    <row r="38" spans="2:3" x14ac:dyDescent="0.2">
      <c r="B38" t="s">
        <v>62</v>
      </c>
      <c r="C38" s="1">
        <v>1</v>
      </c>
    </row>
    <row r="39" spans="2:3" x14ac:dyDescent="0.2">
      <c r="B39" t="s">
        <v>60</v>
      </c>
      <c r="C39" s="1">
        <v>1</v>
      </c>
    </row>
    <row r="40" spans="2:3" x14ac:dyDescent="0.2">
      <c r="B40" t="s">
        <v>66</v>
      </c>
      <c r="C40" s="1">
        <v>134503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823B-3784-A144-A4C9-AABE8FFE6268}">
  <dimension ref="A1:F50"/>
  <sheetViews>
    <sheetView workbookViewId="0">
      <selection sqref="A1:F50"/>
    </sheetView>
  </sheetViews>
  <sheetFormatPr baseColWidth="10" defaultRowHeight="16" x14ac:dyDescent="0.2"/>
  <cols>
    <col min="1" max="1" width="32.33203125" bestFit="1" customWidth="1"/>
    <col min="2" max="2" width="32.1640625" bestFit="1" customWidth="1"/>
    <col min="3" max="3" width="16" bestFit="1" customWidth="1"/>
    <col min="4" max="4" width="15.6640625" bestFit="1" customWidth="1"/>
    <col min="5" max="5" width="12.33203125" bestFit="1" customWidth="1"/>
    <col min="6" max="6" width="1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6</v>
      </c>
      <c r="C2">
        <v>52672</v>
      </c>
      <c r="D2">
        <v>460133</v>
      </c>
      <c r="E2">
        <v>7057569.5499999998</v>
      </c>
      <c r="F2">
        <v>16.309999999999999</v>
      </c>
    </row>
    <row r="3" spans="1:6" x14ac:dyDescent="0.2">
      <c r="A3" t="s">
        <v>7</v>
      </c>
      <c r="B3" t="s">
        <v>7</v>
      </c>
      <c r="C3">
        <v>20062</v>
      </c>
      <c r="D3">
        <v>135393</v>
      </c>
      <c r="E3">
        <v>4913271.3600000003</v>
      </c>
      <c r="F3">
        <v>34.68</v>
      </c>
    </row>
    <row r="4" spans="1:6" x14ac:dyDescent="0.2">
      <c r="A4" t="s">
        <v>8</v>
      </c>
      <c r="B4" t="s">
        <v>9</v>
      </c>
      <c r="C4">
        <v>12606</v>
      </c>
      <c r="D4">
        <v>252630</v>
      </c>
      <c r="E4">
        <v>2691583.24</v>
      </c>
      <c r="F4">
        <v>12.12</v>
      </c>
    </row>
    <row r="5" spans="1:6" x14ac:dyDescent="0.2">
      <c r="A5" t="s">
        <v>10</v>
      </c>
      <c r="B5" t="s">
        <v>10</v>
      </c>
      <c r="C5">
        <v>11587</v>
      </c>
      <c r="D5">
        <v>82660</v>
      </c>
      <c r="E5">
        <v>1465242.05</v>
      </c>
      <c r="F5">
        <v>18.100000000000001</v>
      </c>
    </row>
    <row r="6" spans="1:6" x14ac:dyDescent="0.2">
      <c r="A6" t="s">
        <v>11</v>
      </c>
      <c r="B6" t="s">
        <v>11</v>
      </c>
      <c r="C6">
        <v>2306</v>
      </c>
      <c r="D6">
        <v>90117</v>
      </c>
      <c r="E6">
        <v>964354.83</v>
      </c>
      <c r="F6">
        <v>12.45</v>
      </c>
    </row>
    <row r="7" spans="1:6" x14ac:dyDescent="0.2">
      <c r="A7" t="s">
        <v>12</v>
      </c>
      <c r="B7" t="s">
        <v>12</v>
      </c>
      <c r="C7">
        <v>4776</v>
      </c>
      <c r="D7">
        <v>18957</v>
      </c>
      <c r="E7">
        <v>839361.92</v>
      </c>
      <c r="F7">
        <v>45.22</v>
      </c>
    </row>
    <row r="8" spans="1:6" x14ac:dyDescent="0.2">
      <c r="A8" t="s">
        <v>13</v>
      </c>
      <c r="B8" t="s">
        <v>13</v>
      </c>
      <c r="C8">
        <v>4392</v>
      </c>
      <c r="D8">
        <v>52667</v>
      </c>
      <c r="E8">
        <v>550946.55000000005</v>
      </c>
      <c r="F8">
        <v>11.05</v>
      </c>
    </row>
    <row r="9" spans="1:6" x14ac:dyDescent="0.2">
      <c r="A9" t="s">
        <v>14</v>
      </c>
      <c r="B9" t="s">
        <v>15</v>
      </c>
      <c r="C9">
        <v>4974</v>
      </c>
      <c r="D9">
        <v>25785</v>
      </c>
      <c r="E9">
        <v>541555.62</v>
      </c>
      <c r="F9">
        <v>21.71</v>
      </c>
    </row>
    <row r="10" spans="1:6" x14ac:dyDescent="0.2">
      <c r="A10" t="s">
        <v>16</v>
      </c>
      <c r="B10" t="s">
        <v>17</v>
      </c>
      <c r="C10">
        <v>2762</v>
      </c>
      <c r="D10">
        <v>18152</v>
      </c>
      <c r="E10">
        <v>312114.17</v>
      </c>
      <c r="F10">
        <v>23.22</v>
      </c>
    </row>
    <row r="11" spans="1:6" x14ac:dyDescent="0.2">
      <c r="A11" t="s">
        <v>18</v>
      </c>
      <c r="B11" t="s">
        <v>19</v>
      </c>
      <c r="C11">
        <v>2980</v>
      </c>
      <c r="D11">
        <v>19308</v>
      </c>
      <c r="E11">
        <v>289620</v>
      </c>
      <c r="F11">
        <v>15</v>
      </c>
    </row>
    <row r="12" spans="1:6" x14ac:dyDescent="0.2">
      <c r="A12" t="s">
        <v>20</v>
      </c>
      <c r="B12" t="s">
        <v>9</v>
      </c>
      <c r="C12">
        <v>1308</v>
      </c>
      <c r="D12">
        <v>24806</v>
      </c>
      <c r="E12">
        <v>261789.3</v>
      </c>
      <c r="F12">
        <v>11.81</v>
      </c>
    </row>
    <row r="13" spans="1:6" x14ac:dyDescent="0.2">
      <c r="A13" t="s">
        <v>21</v>
      </c>
      <c r="B13" t="s">
        <v>22</v>
      </c>
      <c r="C13">
        <v>1354</v>
      </c>
      <c r="D13">
        <v>24089</v>
      </c>
      <c r="E13">
        <v>250674.28</v>
      </c>
      <c r="F13">
        <v>11.36</v>
      </c>
    </row>
    <row r="14" spans="1:6" x14ac:dyDescent="0.2">
      <c r="A14" t="s">
        <v>23</v>
      </c>
      <c r="B14" t="s">
        <v>23</v>
      </c>
      <c r="C14">
        <v>2308</v>
      </c>
      <c r="D14">
        <v>8185</v>
      </c>
      <c r="E14">
        <v>237699.39</v>
      </c>
      <c r="F14">
        <v>28.95</v>
      </c>
    </row>
    <row r="15" spans="1:6" x14ac:dyDescent="0.2">
      <c r="A15" t="s">
        <v>24</v>
      </c>
      <c r="B15" t="s">
        <v>24</v>
      </c>
      <c r="C15">
        <v>2529</v>
      </c>
      <c r="D15">
        <v>21353</v>
      </c>
      <c r="E15">
        <v>236527.77</v>
      </c>
      <c r="F15">
        <v>10.9</v>
      </c>
    </row>
    <row r="16" spans="1:6" x14ac:dyDescent="0.2">
      <c r="A16" t="s">
        <v>25</v>
      </c>
      <c r="B16" t="s">
        <v>26</v>
      </c>
      <c r="C16">
        <v>1441</v>
      </c>
      <c r="D16">
        <v>5458</v>
      </c>
      <c r="E16">
        <v>151639.19</v>
      </c>
      <c r="F16">
        <v>28.35</v>
      </c>
    </row>
    <row r="17" spans="1:6" x14ac:dyDescent="0.2">
      <c r="A17" t="s">
        <v>27</v>
      </c>
      <c r="B17" t="s">
        <v>27</v>
      </c>
      <c r="C17">
        <v>1454</v>
      </c>
      <c r="D17">
        <v>5901</v>
      </c>
      <c r="E17">
        <v>133476.24</v>
      </c>
      <c r="F17">
        <v>22.35</v>
      </c>
    </row>
    <row r="18" spans="1:6" x14ac:dyDescent="0.2">
      <c r="A18" t="s">
        <v>28</v>
      </c>
      <c r="B18" t="s">
        <v>28</v>
      </c>
      <c r="C18">
        <v>875</v>
      </c>
      <c r="D18">
        <v>2383</v>
      </c>
      <c r="E18">
        <v>69144.08</v>
      </c>
      <c r="F18">
        <v>29.04</v>
      </c>
    </row>
    <row r="19" spans="1:6" x14ac:dyDescent="0.2">
      <c r="A19" t="s">
        <v>29</v>
      </c>
      <c r="B19" t="s">
        <v>30</v>
      </c>
      <c r="C19">
        <v>605</v>
      </c>
      <c r="D19">
        <v>2497</v>
      </c>
      <c r="E19">
        <v>61833.86</v>
      </c>
      <c r="F19">
        <v>24.34</v>
      </c>
    </row>
    <row r="20" spans="1:6" x14ac:dyDescent="0.2">
      <c r="A20" t="s">
        <v>31</v>
      </c>
      <c r="B20" t="s">
        <v>13</v>
      </c>
      <c r="C20">
        <v>523</v>
      </c>
      <c r="D20">
        <v>5400</v>
      </c>
      <c r="E20">
        <v>56427.15</v>
      </c>
      <c r="F20">
        <v>11.07</v>
      </c>
    </row>
    <row r="21" spans="1:6" x14ac:dyDescent="0.2">
      <c r="A21" t="s">
        <v>32</v>
      </c>
      <c r="B21" t="s">
        <v>32</v>
      </c>
      <c r="C21">
        <v>297</v>
      </c>
      <c r="D21">
        <v>1669</v>
      </c>
      <c r="E21">
        <v>50604.08</v>
      </c>
      <c r="F21">
        <v>30.32</v>
      </c>
    </row>
    <row r="22" spans="1:6" x14ac:dyDescent="0.2">
      <c r="A22" t="s">
        <v>33</v>
      </c>
      <c r="B22" t="s">
        <v>33</v>
      </c>
      <c r="C22">
        <v>696</v>
      </c>
      <c r="D22">
        <v>3398</v>
      </c>
      <c r="E22">
        <v>46990.17</v>
      </c>
      <c r="F22">
        <v>12.88</v>
      </c>
    </row>
    <row r="23" spans="1:6" x14ac:dyDescent="0.2">
      <c r="A23" t="s">
        <v>34</v>
      </c>
      <c r="B23" t="s">
        <v>34</v>
      </c>
      <c r="C23">
        <v>221</v>
      </c>
      <c r="D23">
        <v>948</v>
      </c>
      <c r="E23">
        <v>38926.980000000003</v>
      </c>
      <c r="F23">
        <v>41.05</v>
      </c>
    </row>
    <row r="24" spans="1:6" x14ac:dyDescent="0.2">
      <c r="A24" t="s">
        <v>35</v>
      </c>
      <c r="B24" t="s">
        <v>35</v>
      </c>
      <c r="C24">
        <v>417</v>
      </c>
      <c r="D24">
        <v>2084</v>
      </c>
      <c r="E24">
        <v>34615.24</v>
      </c>
      <c r="F24">
        <v>16.59</v>
      </c>
    </row>
    <row r="25" spans="1:6" x14ac:dyDescent="0.2">
      <c r="A25" t="s">
        <v>36</v>
      </c>
      <c r="B25" t="s">
        <v>24</v>
      </c>
      <c r="C25">
        <v>361</v>
      </c>
      <c r="D25">
        <v>2719</v>
      </c>
      <c r="E25">
        <v>31761.89</v>
      </c>
      <c r="F25">
        <v>11.49</v>
      </c>
    </row>
    <row r="26" spans="1:6" x14ac:dyDescent="0.2">
      <c r="A26" t="s">
        <v>37</v>
      </c>
      <c r="B26" t="s">
        <v>22</v>
      </c>
      <c r="C26">
        <v>138</v>
      </c>
      <c r="D26">
        <v>2344</v>
      </c>
      <c r="E26">
        <v>24379.759999999998</v>
      </c>
      <c r="F26">
        <v>11.14</v>
      </c>
    </row>
    <row r="27" spans="1:6" x14ac:dyDescent="0.2">
      <c r="A27" t="s">
        <v>38</v>
      </c>
      <c r="B27" t="s">
        <v>38</v>
      </c>
      <c r="C27">
        <v>250</v>
      </c>
      <c r="D27">
        <v>1443</v>
      </c>
      <c r="E27">
        <v>23355.24</v>
      </c>
      <c r="F27">
        <v>15.87</v>
      </c>
    </row>
    <row r="28" spans="1:6" x14ac:dyDescent="0.2">
      <c r="A28" t="s">
        <v>39</v>
      </c>
      <c r="B28" t="s">
        <v>26</v>
      </c>
      <c r="C28">
        <v>205</v>
      </c>
      <c r="D28">
        <v>662</v>
      </c>
      <c r="E28">
        <v>17275</v>
      </c>
      <c r="F28">
        <v>26.57</v>
      </c>
    </row>
    <row r="29" spans="1:6" x14ac:dyDescent="0.2">
      <c r="A29" t="s">
        <v>8</v>
      </c>
      <c r="B29" t="s">
        <v>22</v>
      </c>
      <c r="C29">
        <v>87</v>
      </c>
      <c r="D29">
        <v>1263</v>
      </c>
      <c r="E29">
        <v>12910.17</v>
      </c>
      <c r="F29">
        <v>10.85</v>
      </c>
    </row>
    <row r="30" spans="1:6" x14ac:dyDescent="0.2">
      <c r="A30" t="s">
        <v>40</v>
      </c>
      <c r="B30" t="s">
        <v>41</v>
      </c>
      <c r="C30">
        <v>25</v>
      </c>
      <c r="D30">
        <v>190</v>
      </c>
      <c r="E30">
        <v>8123.62</v>
      </c>
      <c r="F30">
        <v>42.54</v>
      </c>
    </row>
    <row r="31" spans="1:6" x14ac:dyDescent="0.2">
      <c r="A31" t="s">
        <v>42</v>
      </c>
      <c r="B31" t="s">
        <v>42</v>
      </c>
      <c r="C31">
        <v>79</v>
      </c>
      <c r="D31">
        <v>299</v>
      </c>
      <c r="E31">
        <v>7964.31</v>
      </c>
      <c r="F31">
        <v>42.54</v>
      </c>
    </row>
    <row r="32" spans="1:6" x14ac:dyDescent="0.2">
      <c r="A32" t="s">
        <v>43</v>
      </c>
      <c r="B32" t="s">
        <v>30</v>
      </c>
      <c r="C32">
        <v>85</v>
      </c>
      <c r="D32">
        <v>331</v>
      </c>
      <c r="E32">
        <v>7791.74</v>
      </c>
      <c r="F32">
        <v>23.54</v>
      </c>
    </row>
    <row r="33" spans="1:6" x14ac:dyDescent="0.2">
      <c r="A33" t="s">
        <v>44</v>
      </c>
      <c r="B33" t="s">
        <v>33</v>
      </c>
      <c r="C33">
        <v>62</v>
      </c>
      <c r="D33">
        <v>250</v>
      </c>
      <c r="E33">
        <v>3175.27</v>
      </c>
      <c r="F33">
        <v>12.67</v>
      </c>
    </row>
    <row r="34" spans="1:6" x14ac:dyDescent="0.2">
      <c r="A34" t="s">
        <v>45</v>
      </c>
      <c r="B34" t="s">
        <v>46</v>
      </c>
      <c r="C34">
        <v>10</v>
      </c>
      <c r="D34">
        <v>66</v>
      </c>
      <c r="E34">
        <v>2955.42</v>
      </c>
      <c r="F34">
        <v>46.34</v>
      </c>
    </row>
    <row r="35" spans="1:6" x14ac:dyDescent="0.2">
      <c r="A35" t="s">
        <v>47</v>
      </c>
      <c r="B35" t="s">
        <v>48</v>
      </c>
      <c r="C35">
        <v>6</v>
      </c>
      <c r="D35">
        <v>108</v>
      </c>
      <c r="E35">
        <v>2809.08</v>
      </c>
      <c r="F35">
        <v>26.01</v>
      </c>
    </row>
    <row r="36" spans="1:6" x14ac:dyDescent="0.2">
      <c r="A36" t="s">
        <v>49</v>
      </c>
      <c r="B36" t="s">
        <v>49</v>
      </c>
      <c r="C36">
        <v>8</v>
      </c>
      <c r="D36">
        <v>72</v>
      </c>
      <c r="E36">
        <v>2432.34</v>
      </c>
      <c r="F36">
        <v>33.78</v>
      </c>
    </row>
    <row r="37" spans="1:6" x14ac:dyDescent="0.2">
      <c r="A37" t="s">
        <v>27</v>
      </c>
      <c r="B37" t="s">
        <v>50</v>
      </c>
      <c r="C37">
        <v>6</v>
      </c>
      <c r="D37">
        <v>36</v>
      </c>
      <c r="E37">
        <v>1700.4</v>
      </c>
      <c r="F37">
        <v>47.23</v>
      </c>
    </row>
    <row r="38" spans="1:6" x14ac:dyDescent="0.2">
      <c r="A38" t="s">
        <v>51</v>
      </c>
      <c r="B38" t="s">
        <v>51</v>
      </c>
      <c r="C38">
        <v>6</v>
      </c>
      <c r="D38">
        <v>36</v>
      </c>
      <c r="E38">
        <v>1224.3599999999999</v>
      </c>
      <c r="F38">
        <v>34.01</v>
      </c>
    </row>
    <row r="39" spans="1:6" x14ac:dyDescent="0.2">
      <c r="A39" t="s">
        <v>52</v>
      </c>
      <c r="B39" t="s">
        <v>53</v>
      </c>
      <c r="C39">
        <v>4</v>
      </c>
      <c r="D39">
        <v>24</v>
      </c>
      <c r="E39">
        <v>1123.44</v>
      </c>
      <c r="F39">
        <v>46.81</v>
      </c>
    </row>
    <row r="40" spans="1:6" x14ac:dyDescent="0.2">
      <c r="A40" t="s">
        <v>54</v>
      </c>
      <c r="B40" t="s">
        <v>55</v>
      </c>
      <c r="C40">
        <v>5</v>
      </c>
      <c r="D40">
        <v>36</v>
      </c>
      <c r="E40">
        <v>1067.76</v>
      </c>
      <c r="F40">
        <v>29.66</v>
      </c>
    </row>
    <row r="41" spans="1:6" x14ac:dyDescent="0.2">
      <c r="A41" t="s">
        <v>10</v>
      </c>
      <c r="B41" t="s">
        <v>56</v>
      </c>
      <c r="C41">
        <v>8</v>
      </c>
      <c r="D41">
        <v>50</v>
      </c>
      <c r="E41">
        <v>1023</v>
      </c>
      <c r="F41">
        <v>20.46</v>
      </c>
    </row>
    <row r="42" spans="1:6" x14ac:dyDescent="0.2">
      <c r="A42" t="s">
        <v>50</v>
      </c>
      <c r="B42" t="s">
        <v>50</v>
      </c>
      <c r="C42">
        <v>1</v>
      </c>
      <c r="D42">
        <v>30</v>
      </c>
      <c r="E42">
        <v>900</v>
      </c>
      <c r="F42">
        <v>30</v>
      </c>
    </row>
    <row r="43" spans="1:6" x14ac:dyDescent="0.2">
      <c r="A43" t="s">
        <v>38</v>
      </c>
      <c r="B43" t="s">
        <v>56</v>
      </c>
      <c r="C43">
        <v>1</v>
      </c>
      <c r="D43">
        <v>36</v>
      </c>
      <c r="E43">
        <v>540</v>
      </c>
      <c r="F43">
        <v>15</v>
      </c>
    </row>
    <row r="44" spans="1:6" x14ac:dyDescent="0.2">
      <c r="A44" t="s">
        <v>57</v>
      </c>
      <c r="B44" t="s">
        <v>57</v>
      </c>
      <c r="C44">
        <v>2</v>
      </c>
      <c r="D44">
        <v>6</v>
      </c>
      <c r="E44">
        <v>537.05999999999995</v>
      </c>
      <c r="F44">
        <v>89.51</v>
      </c>
    </row>
    <row r="45" spans="1:6" x14ac:dyDescent="0.2">
      <c r="A45" t="s">
        <v>40</v>
      </c>
      <c r="B45" t="s">
        <v>58</v>
      </c>
      <c r="C45">
        <v>2</v>
      </c>
      <c r="D45">
        <v>12</v>
      </c>
      <c r="E45">
        <v>510.06</v>
      </c>
      <c r="F45">
        <v>42.51</v>
      </c>
    </row>
    <row r="46" spans="1:6" x14ac:dyDescent="0.2">
      <c r="A46" t="s">
        <v>59</v>
      </c>
      <c r="B46" t="s">
        <v>34</v>
      </c>
      <c r="C46">
        <v>2</v>
      </c>
      <c r="D46">
        <v>12</v>
      </c>
      <c r="E46">
        <v>447</v>
      </c>
      <c r="F46">
        <v>37.25</v>
      </c>
    </row>
    <row r="47" spans="1:6" x14ac:dyDescent="0.2">
      <c r="A47" t="s">
        <v>60</v>
      </c>
      <c r="B47" t="s">
        <v>60</v>
      </c>
      <c r="C47">
        <v>1</v>
      </c>
      <c r="D47">
        <v>12</v>
      </c>
      <c r="E47">
        <v>397.44</v>
      </c>
      <c r="F47">
        <v>33.119999999999997</v>
      </c>
    </row>
    <row r="48" spans="1:6" x14ac:dyDescent="0.2">
      <c r="A48" t="s">
        <v>40</v>
      </c>
      <c r="B48" t="s">
        <v>49</v>
      </c>
      <c r="C48">
        <v>2</v>
      </c>
      <c r="D48">
        <v>12</v>
      </c>
      <c r="E48">
        <v>372.84</v>
      </c>
      <c r="F48">
        <v>31.07</v>
      </c>
    </row>
    <row r="49" spans="1:6" x14ac:dyDescent="0.2">
      <c r="A49" t="s">
        <v>61</v>
      </c>
      <c r="B49" t="s">
        <v>62</v>
      </c>
      <c r="C49">
        <v>1</v>
      </c>
      <c r="D49">
        <v>6</v>
      </c>
      <c r="E49">
        <v>265.68</v>
      </c>
      <c r="F49">
        <v>44.28</v>
      </c>
    </row>
    <row r="50" spans="1:6" x14ac:dyDescent="0.2">
      <c r="A50" t="s">
        <v>63</v>
      </c>
      <c r="B50" t="s">
        <v>64</v>
      </c>
      <c r="C50">
        <v>1</v>
      </c>
      <c r="D50">
        <v>6</v>
      </c>
      <c r="E50">
        <v>253.74</v>
      </c>
      <c r="F50">
        <v>42.29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Visualizations</vt:lpstr>
      <vt:lpstr>Tequila Vendor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RODAS MENGESHA</cp:lastModifiedBy>
  <dcterms:created xsi:type="dcterms:W3CDTF">2026-04-30T22:27:36Z</dcterms:created>
  <dcterms:modified xsi:type="dcterms:W3CDTF">2026-05-01T04:47:43Z</dcterms:modified>
</cp:coreProperties>
</file>